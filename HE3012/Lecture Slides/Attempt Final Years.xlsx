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entuedu-my.sharepoint.com/personal/gohb0025_e_ntu_edu_sg/Documents/Desktop/Y2S2/HE3012/Lecture Slides/"/>
    </mc:Choice>
  </mc:AlternateContent>
  <xr:revisionPtr revIDLastSave="337" documentId="13_ncr:1_{BBB0253D-EF9D-AC4A-829E-DF4A1D4BCCC7}" xr6:coauthVersionLast="47" xr6:coauthVersionMax="47" xr10:uidLastSave="{593A05F5-7FA1-4D1C-B034-55850366296A}"/>
  <bookViews>
    <workbookView xWindow="-108" yWindow="-108" windowWidth="23256" windowHeight="13176" tabRatio="500" activeTab="2" xr2:uid="{00000000-000D-0000-FFFF-FFFF00000000}"/>
  </bookViews>
  <sheets>
    <sheet name="Income Statement" sheetId="1" r:id="rId1"/>
    <sheet name="Balance Sheet" sheetId="2" r:id="rId2"/>
    <sheet name="Cash Flow Statement" sheetId="3" r:id="rId3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26" i="3" l="1"/>
  <c r="D16" i="3"/>
  <c r="D10" i="3"/>
  <c r="I19" i="2"/>
  <c r="I16" i="2"/>
  <c r="D19" i="2"/>
  <c r="D16" i="2"/>
  <c r="D15" i="2"/>
  <c r="D13" i="2"/>
  <c r="D12" i="2"/>
  <c r="D7" i="2"/>
  <c r="D16" i="1"/>
  <c r="D15" i="1"/>
  <c r="D14" i="1"/>
  <c r="D13" i="1"/>
  <c r="C13" i="1"/>
  <c r="D12" i="1"/>
  <c r="D11" i="1"/>
  <c r="D9" i="1"/>
  <c r="D8" i="1"/>
  <c r="D6" i="1"/>
  <c r="D5" i="1"/>
  <c r="D4" i="1"/>
  <c r="C26" i="3"/>
  <c r="C24" i="3"/>
  <c r="C16" i="3"/>
  <c r="C10" i="3"/>
  <c r="C7" i="2"/>
  <c r="C19" i="2"/>
  <c r="C13" i="2"/>
  <c r="H16" i="2"/>
  <c r="H19" i="2" l="1"/>
  <c r="C14" i="1"/>
  <c r="C16" i="1" s="1"/>
  <c r="C12" i="1"/>
  <c r="C11" i="1"/>
  <c r="C9" i="1"/>
  <c r="C8" i="1"/>
  <c r="C6" i="1"/>
  <c r="C5" i="1"/>
  <c r="C4" i="1"/>
</calcChain>
</file>

<file path=xl/sharedStrings.xml><?xml version="1.0" encoding="utf-8"?>
<sst xmlns="http://schemas.openxmlformats.org/spreadsheetml/2006/main" count="59" uniqueCount="52">
  <si>
    <t>Income Statement</t>
  </si>
  <si>
    <t>Revenue</t>
  </si>
  <si>
    <t>Year 1</t>
  </si>
  <si>
    <t>Year 2</t>
  </si>
  <si>
    <t>Gross Profit</t>
  </si>
  <si>
    <t>Selling and Administrative Expenses</t>
  </si>
  <si>
    <t xml:space="preserve">  Salary</t>
  </si>
  <si>
    <t xml:space="preserve">  Depreciation</t>
  </si>
  <si>
    <t>Operating Income</t>
  </si>
  <si>
    <t xml:space="preserve">  Interest expense</t>
  </si>
  <si>
    <t>Income before taxes</t>
  </si>
  <si>
    <t xml:space="preserve">  Tax expense</t>
  </si>
  <si>
    <t>Net Income</t>
  </si>
  <si>
    <t xml:space="preserve">  Total S&amp;A Expenses</t>
  </si>
  <si>
    <t>Balance Sheet</t>
  </si>
  <si>
    <t>Assets</t>
  </si>
  <si>
    <t>Liabilities</t>
  </si>
  <si>
    <t>Equity</t>
  </si>
  <si>
    <t>Cash</t>
  </si>
  <si>
    <t>Current Assets</t>
  </si>
  <si>
    <t>Fixed Assets</t>
  </si>
  <si>
    <t>Car</t>
  </si>
  <si>
    <t>Total Assets</t>
  </si>
  <si>
    <t>Total Liabilities and Equity</t>
  </si>
  <si>
    <t xml:space="preserve">  Accum. Depreciation</t>
  </si>
  <si>
    <t>Car (net)</t>
  </si>
  <si>
    <t>LCD TV</t>
  </si>
  <si>
    <t>LCD (net)</t>
  </si>
  <si>
    <t>Bank Loan</t>
  </si>
  <si>
    <t>Contributed Capital</t>
  </si>
  <si>
    <t>Retained Earnings</t>
  </si>
  <si>
    <t>Cash Flow Statement</t>
  </si>
  <si>
    <t>Operating Activities</t>
  </si>
  <si>
    <t>Invesing Activities</t>
  </si>
  <si>
    <t>Financing Activities</t>
  </si>
  <si>
    <t xml:space="preserve">  Net Income</t>
  </si>
  <si>
    <t xml:space="preserve">  Changes in working capital</t>
  </si>
  <si>
    <t>Cash provided by operating activities</t>
  </si>
  <si>
    <t>Cash provided by investing activities</t>
  </si>
  <si>
    <t>Cash provided by financing activities</t>
  </si>
  <si>
    <t>Increase (Decrease) in Cash</t>
  </si>
  <si>
    <t>Cost of Goods Sold (COGS)</t>
  </si>
  <si>
    <t xml:space="preserve">  Depreciation (+)</t>
  </si>
  <si>
    <t xml:space="preserve">    Increase in Account payable (+)</t>
  </si>
  <si>
    <t xml:space="preserve">  Capital Expenditure (-)</t>
  </si>
  <si>
    <t xml:space="preserve">  Sale of long-term asset (+)</t>
  </si>
  <si>
    <t xml:space="preserve">  Issurance of Bond/Loan (+)</t>
  </si>
  <si>
    <t xml:space="preserve">  Issurance of Common Stocks (+)</t>
  </si>
  <si>
    <t xml:space="preserve">  Repayment of long-term debt (-)</t>
  </si>
  <si>
    <t xml:space="preserve">  Dividends paid (-)</t>
  </si>
  <si>
    <t xml:space="preserve">    Increase in Account receviable (-)</t>
  </si>
  <si>
    <t xml:space="preserve">  Car Rental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</si>
</sst>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164" fontId="0" fillId="0" borderId="0" xfId="0" applyNumberFormat="1"/>
    <xf numFmtId="0" fontId="1" fillId="0" borderId="0" xfId="0" applyFont="1"/>
    <xf numFmtId="0" fontId="4" fillId="0" borderId="0" xfId="0" applyFont="1"/>
    <xf numFmtId="0" fontId="0" fillId="2" borderId="0" xfId="0" applyFill="1"/>
    <xf numFmtId="0" fontId="0" fillId="2" borderId="1" xfId="0" applyFill="1" applyBorder="1"/>
    <xf numFmtId="164" fontId="0" fillId="2" borderId="0" xfId="0" applyNumberFormat="1" applyFill="1"/>
    <xf numFmtId="0" fontId="4" fillId="0" borderId="1" xfId="0" applyFont="1" applyBorder="1"/>
    <xf numFmtId="0" fontId="6" fillId="0" borderId="0" xfId="0" applyFont="1"/>
    <xf numFmtId="164" fontId="6" fillId="0" borderId="0" xfId="0" applyNumberFormat="1" applyFont="1"/>
    <xf numFmtId="0" fontId="7" fillId="0" borderId="0" xfId="0" applyFont="1"/>
    <xf numFmtId="0" fontId="7" fillId="2" borderId="0" xfId="0" applyFont="1" applyFill="1"/>
    <xf numFmtId="0" fontId="7" fillId="2" borderId="1" xfId="0" applyFont="1" applyFill="1" applyBorder="1"/>
    <xf numFmtId="164" fontId="7" fillId="0" borderId="0" xfId="0" applyNumberFormat="1" applyFont="1"/>
    <xf numFmtId="164" fontId="7" fillId="2" borderId="0" xfId="0" applyNumberFormat="1" applyFont="1" applyFill="1"/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6"/>
  <sheetViews>
    <sheetView zoomScale="146" zoomScaleNormal="154" zoomScalePageLayoutView="154" workbookViewId="0">
      <selection activeCell="B19" sqref="B19"/>
    </sheetView>
  </sheetViews>
  <sheetFormatPr defaultColWidth="11" defaultRowHeight="15.6" x14ac:dyDescent="0.3"/>
  <cols>
    <col min="1" max="1" width="3.5" customWidth="1"/>
    <col min="2" max="2" width="26" customWidth="1"/>
  </cols>
  <sheetData>
    <row r="1" spans="2:6" x14ac:dyDescent="0.3">
      <c r="B1" s="5"/>
    </row>
    <row r="2" spans="2:6" ht="21.6" thickBot="1" x14ac:dyDescent="0.35">
      <c r="B2" s="18" t="s">
        <v>0</v>
      </c>
      <c r="C2" s="18"/>
      <c r="D2" s="18"/>
      <c r="E2" s="18"/>
    </row>
    <row r="3" spans="2:6" ht="16.2" thickBot="1" x14ac:dyDescent="0.35">
      <c r="B3" s="1"/>
      <c r="C3" s="2" t="s">
        <v>2</v>
      </c>
      <c r="D3" s="2" t="s">
        <v>3</v>
      </c>
      <c r="E3" s="2"/>
      <c r="F3" s="2"/>
    </row>
    <row r="4" spans="2:6" x14ac:dyDescent="0.3">
      <c r="B4" s="6" t="s">
        <v>1</v>
      </c>
      <c r="C4">
        <f>5*1000*12</f>
        <v>60000</v>
      </c>
      <c r="D4">
        <f>2*C4</f>
        <v>120000</v>
      </c>
    </row>
    <row r="5" spans="2:6" x14ac:dyDescent="0.3">
      <c r="B5" t="s">
        <v>41</v>
      </c>
      <c r="C5">
        <f>1000*12</f>
        <v>12000</v>
      </c>
      <c r="D5">
        <f>2*C5</f>
        <v>24000</v>
      </c>
    </row>
    <row r="6" spans="2:6" x14ac:dyDescent="0.3">
      <c r="B6" s="6" t="s">
        <v>4</v>
      </c>
      <c r="C6">
        <f>C4-C5</f>
        <v>48000</v>
      </c>
      <c r="D6">
        <f>D4-D5</f>
        <v>96000</v>
      </c>
    </row>
    <row r="7" spans="2:6" x14ac:dyDescent="0.3">
      <c r="B7" t="s">
        <v>5</v>
      </c>
    </row>
    <row r="8" spans="2:6" x14ac:dyDescent="0.3">
      <c r="B8" t="s">
        <v>6</v>
      </c>
      <c r="C8">
        <f>4000*12</f>
        <v>48000</v>
      </c>
      <c r="D8">
        <f>5*1000*12</f>
        <v>60000</v>
      </c>
    </row>
    <row r="9" spans="2:6" x14ac:dyDescent="0.3">
      <c r="B9" t="s">
        <v>7</v>
      </c>
      <c r="C9">
        <f>0.1*10000</f>
        <v>1000</v>
      </c>
      <c r="D9">
        <f>0.1*(10000+2000)</f>
        <v>1200</v>
      </c>
    </row>
    <row r="10" spans="2:6" x14ac:dyDescent="0.3">
      <c r="B10" t="s">
        <v>51</v>
      </c>
      <c r="C10">
        <v>0</v>
      </c>
      <c r="D10">
        <v>0</v>
      </c>
    </row>
    <row r="11" spans="2:6" x14ac:dyDescent="0.3">
      <c r="B11" t="s">
        <v>13</v>
      </c>
      <c r="C11">
        <f>C10+C9+C8</f>
        <v>49000</v>
      </c>
      <c r="D11">
        <f>D8+D9</f>
        <v>61200</v>
      </c>
    </row>
    <row r="12" spans="2:6" x14ac:dyDescent="0.3">
      <c r="B12" s="6" t="s">
        <v>8</v>
      </c>
      <c r="C12">
        <f>C6-C11</f>
        <v>-1000</v>
      </c>
      <c r="D12">
        <f>D6-D11</f>
        <v>34800</v>
      </c>
    </row>
    <row r="13" spans="2:6" x14ac:dyDescent="0.3">
      <c r="B13" t="s">
        <v>9</v>
      </c>
      <c r="C13">
        <f>0.1*6000</f>
        <v>600</v>
      </c>
      <c r="D13">
        <f>0.1*6000</f>
        <v>600</v>
      </c>
    </row>
    <row r="14" spans="2:6" x14ac:dyDescent="0.3">
      <c r="B14" t="s">
        <v>10</v>
      </c>
      <c r="C14">
        <f>C12-C13</f>
        <v>-1600</v>
      </c>
      <c r="D14">
        <f>D12-D13</f>
        <v>34200</v>
      </c>
    </row>
    <row r="15" spans="2:6" x14ac:dyDescent="0.3">
      <c r="B15" t="s">
        <v>11</v>
      </c>
      <c r="C15">
        <v>0</v>
      </c>
      <c r="D15">
        <f>0.2*D14</f>
        <v>6840</v>
      </c>
    </row>
    <row r="16" spans="2:6" ht="16.2" thickBot="1" x14ac:dyDescent="0.35">
      <c r="B16" s="10" t="s">
        <v>12</v>
      </c>
      <c r="C16" s="1">
        <f>C14</f>
        <v>-1600</v>
      </c>
      <c r="D16" s="1">
        <f>D14-D15</f>
        <v>27360</v>
      </c>
      <c r="E16" s="1"/>
    </row>
  </sheetData>
  <mergeCells count="1">
    <mergeCell ref="B2:E2"/>
  </mergeCells>
  <phoneticPr fontId="8" type="noConversion"/>
  <pageMargins left="0.75" right="0.75" top="1" bottom="1" header="0.5" footer="0.5"/>
  <pageSetup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19"/>
  <sheetViews>
    <sheetView zoomScale="107" zoomScaleNormal="150" zoomScalePageLayoutView="150" workbookViewId="0">
      <selection activeCell="H21" sqref="H21"/>
    </sheetView>
  </sheetViews>
  <sheetFormatPr defaultColWidth="11" defaultRowHeight="15.6" x14ac:dyDescent="0.3"/>
  <cols>
    <col min="1" max="1" width="3" customWidth="1"/>
    <col min="2" max="2" width="22.19921875" customWidth="1"/>
    <col min="6" max="6" width="23.5" customWidth="1"/>
  </cols>
  <sheetData>
    <row r="2" spans="2:11" ht="21" x14ac:dyDescent="0.3">
      <c r="B2" s="19" t="s">
        <v>14</v>
      </c>
      <c r="C2" s="19"/>
      <c r="D2" s="19"/>
      <c r="E2" s="19"/>
      <c r="F2" s="19"/>
      <c r="G2" s="19"/>
      <c r="H2" s="19"/>
      <c r="I2" s="19"/>
    </row>
    <row r="4" spans="2:11" ht="16.2" thickBot="1" x14ac:dyDescent="0.35">
      <c r="B4" s="1"/>
      <c r="C4" s="2" t="s">
        <v>2</v>
      </c>
      <c r="D4" s="2" t="s">
        <v>3</v>
      </c>
      <c r="E4" s="2"/>
      <c r="F4" s="2"/>
      <c r="G4" s="1"/>
      <c r="H4" s="2" t="s">
        <v>2</v>
      </c>
      <c r="I4" s="2" t="s">
        <v>3</v>
      </c>
      <c r="J4" s="2"/>
      <c r="K4" s="2"/>
    </row>
    <row r="5" spans="2:11" x14ac:dyDescent="0.3">
      <c r="B5" s="6" t="s">
        <v>15</v>
      </c>
      <c r="G5" s="6" t="s">
        <v>16</v>
      </c>
    </row>
    <row r="6" spans="2:11" x14ac:dyDescent="0.3">
      <c r="B6" s="5" t="s">
        <v>19</v>
      </c>
    </row>
    <row r="7" spans="2:11" x14ac:dyDescent="0.3">
      <c r="B7" t="s">
        <v>18</v>
      </c>
      <c r="C7">
        <f>-1600+1000+6000-5000</f>
        <v>400</v>
      </c>
      <c r="D7" s="4">
        <f>C7+27360-2000+1200</f>
        <v>26960</v>
      </c>
      <c r="E7" s="4"/>
      <c r="F7" s="4"/>
      <c r="G7" s="5" t="s">
        <v>28</v>
      </c>
      <c r="H7">
        <v>6000</v>
      </c>
      <c r="I7">
        <v>6000</v>
      </c>
    </row>
    <row r="10" spans="2:11" x14ac:dyDescent="0.3">
      <c r="B10" s="5" t="s">
        <v>20</v>
      </c>
    </row>
    <row r="11" spans="2:11" x14ac:dyDescent="0.3">
      <c r="B11" t="s">
        <v>21</v>
      </c>
      <c r="C11">
        <v>10000</v>
      </c>
      <c r="D11">
        <v>10000</v>
      </c>
    </row>
    <row r="12" spans="2:11" x14ac:dyDescent="0.3">
      <c r="B12" t="s">
        <v>24</v>
      </c>
      <c r="C12" s="4">
        <v>-1000</v>
      </c>
      <c r="D12" s="4">
        <f>2*C12</f>
        <v>-2000</v>
      </c>
      <c r="E12" s="4"/>
      <c r="F12" s="4"/>
      <c r="G12" s="3"/>
      <c r="H12" s="3"/>
      <c r="I12" s="3"/>
      <c r="J12" s="3"/>
    </row>
    <row r="13" spans="2:11" x14ac:dyDescent="0.3">
      <c r="B13" t="s">
        <v>25</v>
      </c>
      <c r="C13" s="4">
        <f>C11+C12</f>
        <v>9000</v>
      </c>
      <c r="D13" s="4">
        <f>D11+D12</f>
        <v>8000</v>
      </c>
      <c r="E13" s="4"/>
      <c r="F13" s="4"/>
      <c r="G13" s="6" t="s">
        <v>17</v>
      </c>
    </row>
    <row r="14" spans="2:11" x14ac:dyDescent="0.3">
      <c r="B14" t="s">
        <v>26</v>
      </c>
      <c r="C14">
        <v>0</v>
      </c>
      <c r="D14">
        <v>2000</v>
      </c>
    </row>
    <row r="15" spans="2:11" x14ac:dyDescent="0.3">
      <c r="B15" t="s">
        <v>24</v>
      </c>
      <c r="C15">
        <v>0</v>
      </c>
      <c r="D15" s="4">
        <f>-0.1*D14</f>
        <v>-200</v>
      </c>
      <c r="E15" s="4"/>
      <c r="G15" s="5" t="s">
        <v>29</v>
      </c>
      <c r="H15">
        <v>5000</v>
      </c>
      <c r="I15">
        <v>5000</v>
      </c>
    </row>
    <row r="16" spans="2:11" x14ac:dyDescent="0.3">
      <c r="B16" t="s">
        <v>27</v>
      </c>
      <c r="C16">
        <v>0</v>
      </c>
      <c r="D16" s="4">
        <f>D14+D15</f>
        <v>1800</v>
      </c>
      <c r="E16" s="4"/>
      <c r="G16" s="5" t="s">
        <v>30</v>
      </c>
      <c r="H16">
        <f>-1600</f>
        <v>-1600</v>
      </c>
      <c r="I16">
        <f>H16+27360</f>
        <v>25760</v>
      </c>
    </row>
    <row r="18" spans="2:10" ht="16.2" thickBot="1" x14ac:dyDescent="0.35">
      <c r="B18" s="1"/>
      <c r="C18" s="1"/>
      <c r="D18" s="1"/>
      <c r="E18" s="1"/>
      <c r="G18" s="1"/>
      <c r="H18" s="1"/>
      <c r="I18" s="1"/>
      <c r="J18" s="1"/>
    </row>
    <row r="19" spans="2:10" x14ac:dyDescent="0.3">
      <c r="B19" t="s">
        <v>22</v>
      </c>
      <c r="C19" s="4">
        <f>C16+C13+C7</f>
        <v>9400</v>
      </c>
      <c r="D19" s="4">
        <f>D16+D13+D7</f>
        <v>36760</v>
      </c>
      <c r="E19" s="4"/>
      <c r="G19" t="s">
        <v>23</v>
      </c>
      <c r="H19">
        <f>H7+H16+H15</f>
        <v>9400</v>
      </c>
      <c r="I19">
        <f>I16+I15+I7</f>
        <v>36760</v>
      </c>
    </row>
  </sheetData>
  <mergeCells count="1">
    <mergeCell ref="B2:I2"/>
  </mergeCells>
  <phoneticPr fontId="8" type="noConversion"/>
  <pageMargins left="0.75" right="0.75" top="1" bottom="1" header="0.5" footer="0.5"/>
  <pageSetup scale="99" orientation="landscape" horizontalDpi="4294967292" verticalDpi="4294967292"/>
  <colBreaks count="1" manualBreakCount="1">
    <brk id="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28"/>
  <sheetViews>
    <sheetView tabSelected="1" zoomScale="85" zoomScaleNormal="85" zoomScalePageLayoutView="150" workbookViewId="0">
      <selection activeCell="L21" sqref="L21"/>
    </sheetView>
  </sheetViews>
  <sheetFormatPr defaultColWidth="11" defaultRowHeight="15.6" x14ac:dyDescent="0.3"/>
  <cols>
    <col min="1" max="1" width="2.69921875" customWidth="1"/>
    <col min="2" max="2" width="33" customWidth="1"/>
  </cols>
  <sheetData>
    <row r="1" spans="2:6" ht="21.6" thickBot="1" x14ac:dyDescent="0.45">
      <c r="B1" s="20" t="s">
        <v>31</v>
      </c>
      <c r="C1" s="20"/>
      <c r="D1" s="20"/>
      <c r="E1" s="20"/>
    </row>
    <row r="2" spans="2:6" ht="16.2" thickBot="1" x14ac:dyDescent="0.35">
      <c r="B2" s="1"/>
      <c r="C2" s="2" t="s">
        <v>2</v>
      </c>
      <c r="D2" s="2" t="s">
        <v>3</v>
      </c>
      <c r="E2" s="2"/>
      <c r="F2" s="2"/>
    </row>
    <row r="3" spans="2:6" x14ac:dyDescent="0.3">
      <c r="B3" s="6" t="s">
        <v>32</v>
      </c>
    </row>
    <row r="4" spans="2:6" x14ac:dyDescent="0.3">
      <c r="B4" t="s">
        <v>35</v>
      </c>
      <c r="C4" s="13">
        <v>-1600</v>
      </c>
      <c r="D4" s="13">
        <v>27360</v>
      </c>
      <c r="E4" s="13"/>
    </row>
    <row r="5" spans="2:6" x14ac:dyDescent="0.3">
      <c r="B5" t="s">
        <v>42</v>
      </c>
      <c r="C5" s="13">
        <v>1000</v>
      </c>
      <c r="D5" s="13">
        <v>1200</v>
      </c>
      <c r="E5" s="13"/>
    </row>
    <row r="6" spans="2:6" x14ac:dyDescent="0.3">
      <c r="B6" t="s">
        <v>36</v>
      </c>
      <c r="C6" s="11"/>
    </row>
    <row r="7" spans="2:6" x14ac:dyDescent="0.3">
      <c r="B7" t="s">
        <v>50</v>
      </c>
      <c r="C7" s="11"/>
    </row>
    <row r="8" spans="2:6" x14ac:dyDescent="0.3">
      <c r="B8" t="s">
        <v>43</v>
      </c>
      <c r="C8" s="11"/>
    </row>
    <row r="9" spans="2:6" x14ac:dyDescent="0.3">
      <c r="C9" s="11"/>
    </row>
    <row r="10" spans="2:6" x14ac:dyDescent="0.3">
      <c r="B10" s="7" t="s">
        <v>37</v>
      </c>
      <c r="C10" s="14">
        <f>C5+C4</f>
        <v>-600</v>
      </c>
      <c r="D10" s="7">
        <f>D4+D5</f>
        <v>28560</v>
      </c>
      <c r="E10" s="7"/>
    </row>
    <row r="11" spans="2:6" x14ac:dyDescent="0.3">
      <c r="C11" s="11"/>
    </row>
    <row r="12" spans="2:6" x14ac:dyDescent="0.3">
      <c r="B12" s="6" t="s">
        <v>33</v>
      </c>
      <c r="C12" s="13"/>
    </row>
    <row r="13" spans="2:6" x14ac:dyDescent="0.3">
      <c r="B13" t="s">
        <v>44</v>
      </c>
      <c r="C13" s="16">
        <v>-10000</v>
      </c>
      <c r="D13" s="12">
        <v>-2000</v>
      </c>
      <c r="E13" s="12"/>
    </row>
    <row r="14" spans="2:6" x14ac:dyDescent="0.3">
      <c r="B14" t="s">
        <v>45</v>
      </c>
      <c r="C14" s="13"/>
      <c r="D14" s="11"/>
      <c r="E14" s="11"/>
    </row>
    <row r="15" spans="2:6" x14ac:dyDescent="0.3">
      <c r="C15" s="13"/>
    </row>
    <row r="16" spans="2:6" x14ac:dyDescent="0.3">
      <c r="B16" s="7" t="s">
        <v>38</v>
      </c>
      <c r="C16" s="17">
        <f>C13</f>
        <v>-10000</v>
      </c>
      <c r="D16" s="9">
        <f>D13</f>
        <v>-2000</v>
      </c>
      <c r="E16" s="9"/>
    </row>
    <row r="17" spans="2:6" x14ac:dyDescent="0.3">
      <c r="C17" s="13"/>
    </row>
    <row r="18" spans="2:6" x14ac:dyDescent="0.3">
      <c r="B18" s="6" t="s">
        <v>34</v>
      </c>
      <c r="C18" s="13"/>
    </row>
    <row r="19" spans="2:6" x14ac:dyDescent="0.3">
      <c r="B19" t="s">
        <v>46</v>
      </c>
      <c r="C19" s="13">
        <v>6000</v>
      </c>
    </row>
    <row r="20" spans="2:6" x14ac:dyDescent="0.3">
      <c r="B20" t="s">
        <v>47</v>
      </c>
      <c r="C20" s="13">
        <v>5000</v>
      </c>
    </row>
    <row r="21" spans="2:6" x14ac:dyDescent="0.3">
      <c r="B21" t="s">
        <v>48</v>
      </c>
      <c r="C21" s="13"/>
    </row>
    <row r="22" spans="2:6" x14ac:dyDescent="0.3">
      <c r="B22" t="s">
        <v>49</v>
      </c>
      <c r="C22" s="13"/>
      <c r="D22" s="13"/>
      <c r="E22" s="13"/>
      <c r="F22" s="13"/>
    </row>
    <row r="23" spans="2:6" x14ac:dyDescent="0.3">
      <c r="C23" s="13"/>
    </row>
    <row r="24" spans="2:6" ht="16.2" thickBot="1" x14ac:dyDescent="0.35">
      <c r="B24" s="8" t="s">
        <v>39</v>
      </c>
      <c r="C24" s="15">
        <f>C20+C19</f>
        <v>11000</v>
      </c>
      <c r="D24" s="8">
        <v>0</v>
      </c>
      <c r="E24" s="8"/>
      <c r="F24" s="8"/>
    </row>
    <row r="25" spans="2:6" x14ac:dyDescent="0.3">
      <c r="C25" s="13"/>
    </row>
    <row r="26" spans="2:6" x14ac:dyDescent="0.3">
      <c r="B26" t="s">
        <v>40</v>
      </c>
      <c r="C26" s="16">
        <f>C24+C16+C10</f>
        <v>400</v>
      </c>
      <c r="D26" s="4">
        <f>D10+D16</f>
        <v>26560</v>
      </c>
      <c r="E26" s="4"/>
    </row>
    <row r="27" spans="2:6" x14ac:dyDescent="0.3">
      <c r="C27" s="13"/>
    </row>
    <row r="28" spans="2:6" x14ac:dyDescent="0.3">
      <c r="C28" s="13"/>
    </row>
  </sheetData>
  <mergeCells count="1">
    <mergeCell ref="B1:E1"/>
  </mergeCells>
  <phoneticPr fontId="8" type="noConversion"/>
  <pageMargins left="0.75" right="0.75" top="1" bottom="1" header="0.5" footer="0.5"/>
  <pageSetup orientation="portrait" horizontalDpi="4294967292" verticalDpi="4294967292"/>
</worksheet>
</file>

<file path=docMetadata/LabelInfo.xml><?xml version="1.0" encoding="utf-8"?>
<clbl:labelList xmlns:clbl="http://schemas.microsoft.com/office/2020/mipLabelMetadata">
  <clbl:label id="{15ce9348-be2a-462b-8fc0-e1765a9b204a}" enabled="0" method="" siteId="{15ce9348-be2a-462b-8fc0-e1765a9b204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</vt:lpstr>
      <vt:lpstr>Balance Sheet</vt:lpstr>
      <vt:lpstr>Cash Flow Statement</vt:lpstr>
    </vt:vector>
  </TitlesOfParts>
  <Company>Brown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Taisen He</dc:creator>
  <cp:lastModifiedBy>#GOH BO JUN, ISSAC (WU BOJUN)#</cp:lastModifiedBy>
  <cp:lastPrinted>2015-03-09T03:34:48Z</cp:lastPrinted>
  <dcterms:created xsi:type="dcterms:W3CDTF">2012-07-31T19:58:48Z</dcterms:created>
  <dcterms:modified xsi:type="dcterms:W3CDTF">2025-04-26T05:18:12Z</dcterms:modified>
</cp:coreProperties>
</file>