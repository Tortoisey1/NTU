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taisen/Library/CloudStorage/Dropbox/A in Clouds/2 Teaching/2223 Sem 2 HE3012/Lecture 7 Financial Statements/answers/"/>
    </mc:Choice>
  </mc:AlternateContent>
  <xr:revisionPtr revIDLastSave="0" documentId="13_ncr:1_{AB35D044-0394-234E-A2F7-EE06B190C9DB}" xr6:coauthVersionLast="47" xr6:coauthVersionMax="47" xr10:uidLastSave="{00000000-0000-0000-0000-000000000000}"/>
  <bookViews>
    <workbookView xWindow="3200" yWindow="740" windowWidth="25600" windowHeight="15940" tabRatio="500" xr2:uid="{00000000-000D-0000-FFFF-FFFF00000000}"/>
  </bookViews>
  <sheets>
    <sheet name="Income Statement" sheetId="1" r:id="rId1"/>
    <sheet name="Balance Sheet" sheetId="2" r:id="rId2"/>
    <sheet name="Cash Flow Stateme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1" i="1" l="1"/>
  <c r="F11" i="1"/>
  <c r="F9" i="1"/>
  <c r="F4" i="1"/>
  <c r="F6" i="1" s="1"/>
  <c r="F12" i="1" s="1"/>
  <c r="F5" i="1"/>
  <c r="F8" i="2"/>
  <c r="F24" i="3"/>
  <c r="F16" i="3"/>
  <c r="K14" i="2"/>
  <c r="F16" i="2"/>
  <c r="F13" i="2"/>
  <c r="F8" i="1"/>
  <c r="E5" i="3"/>
  <c r="D9" i="1"/>
  <c r="D5" i="1"/>
  <c r="D6" i="1" s="1"/>
  <c r="D12" i="1" s="1"/>
  <c r="D4" i="1"/>
  <c r="C7" i="2"/>
  <c r="D7" i="2" s="1"/>
  <c r="E12" i="1"/>
  <c r="E14" i="1" s="1"/>
  <c r="D11" i="1"/>
  <c r="E16" i="2"/>
  <c r="E13" i="2"/>
  <c r="E6" i="1"/>
  <c r="E24" i="3"/>
  <c r="E16" i="3"/>
  <c r="C6" i="1"/>
  <c r="C12" i="1" s="1"/>
  <c r="C11" i="1"/>
  <c r="D8" i="1"/>
  <c r="D16" i="3"/>
  <c r="C16" i="3"/>
  <c r="C24" i="3"/>
  <c r="D13" i="2"/>
  <c r="D16" i="2"/>
  <c r="I7" i="2"/>
  <c r="C13" i="2"/>
  <c r="C19" i="2"/>
  <c r="D19" i="2" l="1"/>
  <c r="E15" i="1"/>
  <c r="E16" i="1" s="1"/>
  <c r="D14" i="1"/>
  <c r="C14" i="1"/>
  <c r="F14" i="1"/>
  <c r="E4" i="3" l="1"/>
  <c r="E10" i="3" s="1"/>
  <c r="E7" i="2"/>
  <c r="F15" i="1"/>
  <c r="F16" i="1" s="1"/>
  <c r="F4" i="3" s="1"/>
  <c r="F10" i="3" s="1"/>
  <c r="F26" i="3" s="1"/>
  <c r="C15" i="1"/>
  <c r="C16" i="1" s="1"/>
  <c r="D15" i="1"/>
  <c r="D16" i="1" s="1"/>
  <c r="D4" i="3" s="1"/>
  <c r="D10" i="3" s="1"/>
  <c r="H15" i="2" l="1"/>
  <c r="C4" i="3"/>
  <c r="C10" i="3" s="1"/>
  <c r="D26" i="3"/>
  <c r="F7" i="2"/>
  <c r="F19" i="2" s="1"/>
  <c r="E19" i="2"/>
  <c r="E26" i="3"/>
  <c r="C26" i="3" l="1"/>
  <c r="H19" i="2"/>
  <c r="I15" i="2"/>
  <c r="I19" i="2" l="1"/>
  <c r="J15" i="2"/>
  <c r="K15" i="2" l="1"/>
  <c r="K19" i="2" s="1"/>
  <c r="J19" i="2"/>
</calcChain>
</file>

<file path=xl/sharedStrings.xml><?xml version="1.0" encoding="utf-8"?>
<sst xmlns="http://schemas.openxmlformats.org/spreadsheetml/2006/main" count="68" uniqueCount="55">
  <si>
    <t>Income Statement</t>
  </si>
  <si>
    <t>Revenue</t>
  </si>
  <si>
    <t>Year 1</t>
  </si>
  <si>
    <t>Year 2</t>
  </si>
  <si>
    <t>Year 3</t>
  </si>
  <si>
    <t>Gross Profit</t>
  </si>
  <si>
    <t>Selling and Administrative Expenses</t>
  </si>
  <si>
    <t xml:space="preserve">  Salary</t>
  </si>
  <si>
    <t xml:space="preserve">  Depreciation</t>
  </si>
  <si>
    <t>Operating Income</t>
  </si>
  <si>
    <t xml:space="preserve">  Interest expense</t>
  </si>
  <si>
    <t>Income before taxes</t>
  </si>
  <si>
    <t xml:space="preserve">  Tax expense</t>
  </si>
  <si>
    <t>Net Income</t>
  </si>
  <si>
    <t xml:space="preserve">  Total S&amp;A Expenses</t>
  </si>
  <si>
    <t>Balance Sheet</t>
  </si>
  <si>
    <t>Assets</t>
  </si>
  <si>
    <t>Liabilities</t>
  </si>
  <si>
    <t>Equity</t>
  </si>
  <si>
    <t>Cash</t>
  </si>
  <si>
    <t>Current Assets</t>
  </si>
  <si>
    <t>Fixed Assets</t>
  </si>
  <si>
    <t>Car</t>
  </si>
  <si>
    <t>Total Assets</t>
  </si>
  <si>
    <t>Total Liabilities and Equity</t>
  </si>
  <si>
    <t xml:space="preserve">  Accum. Depreciation</t>
  </si>
  <si>
    <t>Car (net)</t>
  </si>
  <si>
    <t>LCD TV</t>
  </si>
  <si>
    <t>LCD (net)</t>
  </si>
  <si>
    <t>Bank Loan</t>
  </si>
  <si>
    <t>Contributed Capital</t>
  </si>
  <si>
    <t>Retained Earnings</t>
  </si>
  <si>
    <t>Cash Flow Statement</t>
  </si>
  <si>
    <t>Operating Activities</t>
  </si>
  <si>
    <t>Invesing Activities</t>
  </si>
  <si>
    <t>Financing Activities</t>
  </si>
  <si>
    <t xml:space="preserve">  Net Income</t>
  </si>
  <si>
    <t xml:space="preserve">  Changes in working capital</t>
  </si>
  <si>
    <t>Cash provided by operating activities</t>
  </si>
  <si>
    <t>Cash provided by investing activities</t>
  </si>
  <si>
    <t>Cash provided by financing activities</t>
  </si>
  <si>
    <t>Increase (Decrease) in Cash</t>
  </si>
  <si>
    <t>Cost of Goods Sold (COGS)</t>
  </si>
  <si>
    <t xml:space="preserve">  Depreciation (+)</t>
  </si>
  <si>
    <t xml:space="preserve">    Increase in Account payable (+)</t>
  </si>
  <si>
    <t xml:space="preserve">  Capital Expenditure (-)</t>
  </si>
  <si>
    <t xml:space="preserve">  Sale of long-term asset (+)</t>
  </si>
  <si>
    <t xml:space="preserve">  Issurance of Bond/Loan (+)</t>
  </si>
  <si>
    <t xml:space="preserve">  Issurance of Common Stocks (+)</t>
  </si>
  <si>
    <t xml:space="preserve">  Repayment of long-term debt (-)</t>
  </si>
  <si>
    <t xml:space="preserve">  Dividends paid (-)</t>
  </si>
  <si>
    <t xml:space="preserve">    Increase in Account receviable (-)</t>
  </si>
  <si>
    <t>Year 4</t>
  </si>
  <si>
    <t xml:space="preserve">  Car Rental</t>
  </si>
  <si>
    <t>A/R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</si>
</sst>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164" fontId="0" fillId="0" borderId="0" xfId="0" applyNumberFormat="1"/>
    <xf numFmtId="0" fontId="1" fillId="0" borderId="0" xfId="0" applyFont="1"/>
    <xf numFmtId="0" fontId="4" fillId="0" borderId="0" xfId="0" applyFont="1"/>
    <xf numFmtId="0" fontId="0" fillId="2" borderId="0" xfId="0" applyFill="1"/>
    <xf numFmtId="0" fontId="0" fillId="2" borderId="1" xfId="0" applyFill="1" applyBorder="1"/>
    <xf numFmtId="164" fontId="0" fillId="2" borderId="0" xfId="0" applyNumberFormat="1" applyFill="1"/>
    <xf numFmtId="0" fontId="4" fillId="0" borderId="1" xfId="0" applyFont="1" applyBorder="1"/>
    <xf numFmtId="0" fontId="6" fillId="0" borderId="0" xfId="0" applyFont="1"/>
    <xf numFmtId="164" fontId="6" fillId="0" borderId="0" xfId="0" applyNumberFormat="1" applyFont="1"/>
    <xf numFmtId="164" fontId="6" fillId="2" borderId="0" xfId="0" applyNumberFormat="1" applyFont="1" applyFill="1"/>
    <xf numFmtId="0" fontId="7" fillId="0" borderId="0" xfId="0" applyFont="1"/>
    <xf numFmtId="0" fontId="7" fillId="2" borderId="0" xfId="0" applyFont="1" applyFill="1"/>
    <xf numFmtId="0" fontId="7" fillId="2" borderId="1" xfId="0" applyFont="1" applyFill="1" applyBorder="1"/>
    <xf numFmtId="164" fontId="7" fillId="0" borderId="0" xfId="0" applyNumberFormat="1" applyFont="1"/>
    <xf numFmtId="164" fontId="0" fillId="2" borderId="1" xfId="0" applyNumberFormat="1" applyFill="1" applyBorder="1"/>
    <xf numFmtId="0" fontId="0" fillId="0" borderId="0" xfId="0" applyAlignment="1">
      <alignment horizontal="center"/>
    </xf>
    <xf numFmtId="1" fontId="0" fillId="0" borderId="0" xfId="0" applyNumberFormat="1"/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6"/>
  <sheetViews>
    <sheetView tabSelected="1" zoomScale="154" zoomScaleNormal="154" zoomScalePageLayoutView="154" workbookViewId="0"/>
  </sheetViews>
  <sheetFormatPr baseColWidth="10" defaultColWidth="11" defaultRowHeight="16" x14ac:dyDescent="0.2"/>
  <cols>
    <col min="2" max="2" width="26" customWidth="1"/>
  </cols>
  <sheetData>
    <row r="1" spans="2:6" x14ac:dyDescent="0.2">
      <c r="B1" s="5"/>
    </row>
    <row r="2" spans="2:6" ht="22" thickBot="1" x14ac:dyDescent="0.25">
      <c r="B2" s="21" t="s">
        <v>0</v>
      </c>
      <c r="C2" s="21"/>
      <c r="D2" s="21"/>
      <c r="E2" s="21"/>
    </row>
    <row r="3" spans="2:6" ht="17" thickBot="1" x14ac:dyDescent="0.25">
      <c r="B3" s="1"/>
      <c r="C3" s="2" t="s">
        <v>2</v>
      </c>
      <c r="D3" s="2" t="s">
        <v>3</v>
      </c>
      <c r="E3" s="2" t="s">
        <v>4</v>
      </c>
      <c r="F3" s="19" t="s">
        <v>52</v>
      </c>
    </row>
    <row r="4" spans="2:6" x14ac:dyDescent="0.2">
      <c r="B4" s="6" t="s">
        <v>1</v>
      </c>
      <c r="C4">
        <v>60000</v>
      </c>
      <c r="D4">
        <f>7000*12</f>
        <v>84000</v>
      </c>
      <c r="E4">
        <v>180000</v>
      </c>
      <c r="F4">
        <f>E4*1.25</f>
        <v>225000</v>
      </c>
    </row>
    <row r="5" spans="2:6" x14ac:dyDescent="0.2">
      <c r="B5" t="s">
        <v>42</v>
      </c>
      <c r="C5">
        <v>12000</v>
      </c>
      <c r="D5">
        <f>2000*12</f>
        <v>24000</v>
      </c>
      <c r="E5">
        <v>60000</v>
      </c>
      <c r="F5">
        <f>F4*0.15</f>
        <v>33750</v>
      </c>
    </row>
    <row r="6" spans="2:6" x14ac:dyDescent="0.2">
      <c r="B6" s="6" t="s">
        <v>5</v>
      </c>
      <c r="C6">
        <f>C4-C5</f>
        <v>48000</v>
      </c>
      <c r="D6">
        <f>D4-D5</f>
        <v>60000</v>
      </c>
      <c r="E6">
        <f>E4-E5</f>
        <v>120000</v>
      </c>
      <c r="F6">
        <f>F4-F5</f>
        <v>191250</v>
      </c>
    </row>
    <row r="7" spans="2:6" x14ac:dyDescent="0.2">
      <c r="B7" t="s">
        <v>6</v>
      </c>
    </row>
    <row r="8" spans="2:6" x14ac:dyDescent="0.2">
      <c r="B8" t="s">
        <v>7</v>
      </c>
      <c r="C8">
        <v>36000</v>
      </c>
      <c r="D8">
        <f>C8</f>
        <v>36000</v>
      </c>
      <c r="E8">
        <v>72000</v>
      </c>
      <c r="F8">
        <f>36000*3</f>
        <v>108000</v>
      </c>
    </row>
    <row r="9" spans="2:6" x14ac:dyDescent="0.2">
      <c r="B9" t="s">
        <v>8</v>
      </c>
      <c r="C9">
        <v>1000</v>
      </c>
      <c r="D9">
        <f>1000+300</f>
        <v>1300</v>
      </c>
      <c r="E9">
        <v>2600</v>
      </c>
      <c r="F9">
        <f>2600</f>
        <v>2600</v>
      </c>
    </row>
    <row r="10" spans="2:6" x14ac:dyDescent="0.2">
      <c r="B10" t="s">
        <v>53</v>
      </c>
      <c r="F10">
        <v>2000</v>
      </c>
    </row>
    <row r="11" spans="2:6" x14ac:dyDescent="0.2">
      <c r="B11" t="s">
        <v>14</v>
      </c>
      <c r="C11">
        <f>SUM(C8:C9)</f>
        <v>37000</v>
      </c>
      <c r="D11">
        <f>D8+D9</f>
        <v>37300</v>
      </c>
      <c r="E11">
        <f>E8+E9</f>
        <v>74600</v>
      </c>
      <c r="F11">
        <f>F8+F9+F10</f>
        <v>112600</v>
      </c>
    </row>
    <row r="12" spans="2:6" x14ac:dyDescent="0.2">
      <c r="B12" s="6" t="s">
        <v>9</v>
      </c>
      <c r="C12">
        <f>C6-C11</f>
        <v>11000</v>
      </c>
      <c r="D12">
        <f>D6-D11</f>
        <v>22700</v>
      </c>
      <c r="E12">
        <f>E6-E11</f>
        <v>45400</v>
      </c>
      <c r="F12">
        <f>F6-F11</f>
        <v>78650</v>
      </c>
    </row>
    <row r="13" spans="2:6" x14ac:dyDescent="0.2">
      <c r="B13" t="s">
        <v>10</v>
      </c>
      <c r="C13">
        <v>500</v>
      </c>
      <c r="D13">
        <v>500</v>
      </c>
      <c r="E13">
        <v>500</v>
      </c>
      <c r="F13">
        <v>500</v>
      </c>
    </row>
    <row r="14" spans="2:6" x14ac:dyDescent="0.2">
      <c r="B14" t="s">
        <v>11</v>
      </c>
      <c r="C14">
        <f>C12-C13</f>
        <v>10500</v>
      </c>
      <c r="D14">
        <f>D12-D13</f>
        <v>22200</v>
      </c>
      <c r="E14">
        <f>E12-E13</f>
        <v>44900</v>
      </c>
      <c r="F14">
        <f>F12-F13</f>
        <v>78150</v>
      </c>
    </row>
    <row r="15" spans="2:6" x14ac:dyDescent="0.2">
      <c r="B15" t="s">
        <v>12</v>
      </c>
      <c r="C15">
        <f>C14*0.1</f>
        <v>1050</v>
      </c>
      <c r="D15">
        <f>D14*0.1</f>
        <v>2220</v>
      </c>
      <c r="E15">
        <f>E14*0.1</f>
        <v>4490</v>
      </c>
      <c r="F15">
        <f>F14*0.1</f>
        <v>7815</v>
      </c>
    </row>
    <row r="16" spans="2:6" ht="17" thickBot="1" x14ac:dyDescent="0.25">
      <c r="B16" s="10" t="s">
        <v>13</v>
      </c>
      <c r="C16" s="1">
        <f>C14-C15</f>
        <v>9450</v>
      </c>
      <c r="D16" s="1">
        <f>D14-D15</f>
        <v>19980</v>
      </c>
      <c r="E16" s="1">
        <f>E14-E15</f>
        <v>40410</v>
      </c>
      <c r="F16">
        <f>F14-F15</f>
        <v>70335</v>
      </c>
    </row>
  </sheetData>
  <mergeCells count="1">
    <mergeCell ref="B2:E2"/>
  </mergeCells>
  <phoneticPr fontId="8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K22"/>
  <sheetViews>
    <sheetView zoomScale="150" zoomScaleNormal="150" zoomScalePageLayoutView="150" workbookViewId="0">
      <selection activeCell="F22" sqref="F22"/>
    </sheetView>
  </sheetViews>
  <sheetFormatPr baseColWidth="10" defaultColWidth="11" defaultRowHeight="16" x14ac:dyDescent="0.2"/>
  <cols>
    <col min="1" max="1" width="3" customWidth="1"/>
    <col min="2" max="2" width="22.1640625" customWidth="1"/>
    <col min="6" max="6" width="11.83203125" bestFit="1" customWidth="1"/>
    <col min="7" max="7" width="23.5" customWidth="1"/>
  </cols>
  <sheetData>
    <row r="2" spans="2:11" ht="21" x14ac:dyDescent="0.2">
      <c r="B2" s="22" t="s">
        <v>15</v>
      </c>
      <c r="C2" s="22"/>
      <c r="D2" s="22"/>
      <c r="E2" s="22"/>
      <c r="F2" s="22"/>
      <c r="G2" s="22"/>
      <c r="H2" s="22"/>
      <c r="I2" s="22"/>
      <c r="J2" s="22"/>
    </row>
    <row r="4" spans="2:11" ht="17" thickBot="1" x14ac:dyDescent="0.25">
      <c r="B4" s="1"/>
      <c r="C4" s="2" t="s">
        <v>2</v>
      </c>
      <c r="D4" s="2" t="s">
        <v>3</v>
      </c>
      <c r="E4" s="2" t="s">
        <v>4</v>
      </c>
      <c r="F4" s="2" t="s">
        <v>52</v>
      </c>
      <c r="G4" s="1"/>
      <c r="H4" s="2" t="s">
        <v>2</v>
      </c>
      <c r="I4" s="2" t="s">
        <v>3</v>
      </c>
      <c r="J4" s="2" t="s">
        <v>4</v>
      </c>
      <c r="K4" s="2" t="s">
        <v>52</v>
      </c>
    </row>
    <row r="5" spans="2:11" x14ac:dyDescent="0.2">
      <c r="B5" s="6" t="s">
        <v>16</v>
      </c>
      <c r="G5" s="6" t="s">
        <v>17</v>
      </c>
    </row>
    <row r="6" spans="2:11" x14ac:dyDescent="0.2">
      <c r="B6" s="5" t="s">
        <v>20</v>
      </c>
      <c r="F6" s="20"/>
    </row>
    <row r="7" spans="2:11" x14ac:dyDescent="0.2">
      <c r="B7" t="s">
        <v>19</v>
      </c>
      <c r="C7">
        <f>9450+1000</f>
        <v>10450</v>
      </c>
      <c r="D7">
        <f>C7-3000+19980+1300</f>
        <v>28730</v>
      </c>
      <c r="E7">
        <f>D7+'Income Statement'!E16+'Income Statement'!E9-13000-10000</f>
        <v>48740</v>
      </c>
      <c r="F7" s="20">
        <f>E7+'Income Statement'!F16+'Income Statement'!F9-5000+10000-15000-F8</f>
        <v>111242.30769230769</v>
      </c>
      <c r="G7" s="5" t="s">
        <v>29</v>
      </c>
      <c r="H7">
        <v>5000</v>
      </c>
      <c r="I7">
        <f>H7</f>
        <v>5000</v>
      </c>
      <c r="J7">
        <v>5000</v>
      </c>
      <c r="K7">
        <v>0</v>
      </c>
    </row>
    <row r="8" spans="2:11" x14ac:dyDescent="0.2">
      <c r="B8" t="s">
        <v>54</v>
      </c>
      <c r="F8" s="20">
        <f>0.1*'Income Statement'!F4*(1/52)</f>
        <v>432.69230769230774</v>
      </c>
    </row>
    <row r="10" spans="2:11" x14ac:dyDescent="0.2">
      <c r="B10" s="5" t="s">
        <v>21</v>
      </c>
    </row>
    <row r="11" spans="2:11" x14ac:dyDescent="0.2">
      <c r="B11" t="s">
        <v>22</v>
      </c>
      <c r="C11">
        <v>10000</v>
      </c>
      <c r="D11">
        <v>10000</v>
      </c>
      <c r="E11">
        <v>20000</v>
      </c>
      <c r="F11">
        <v>20000</v>
      </c>
    </row>
    <row r="12" spans="2:11" x14ac:dyDescent="0.2">
      <c r="B12" t="s">
        <v>25</v>
      </c>
      <c r="C12" s="4">
        <v>-1000</v>
      </c>
      <c r="D12" s="4">
        <v>-2000</v>
      </c>
      <c r="E12" s="4">
        <v>-4000</v>
      </c>
      <c r="F12" s="4">
        <v>-6000</v>
      </c>
      <c r="G12" s="3"/>
      <c r="H12" s="3"/>
      <c r="I12" s="3"/>
      <c r="J12" s="3"/>
    </row>
    <row r="13" spans="2:11" x14ac:dyDescent="0.2">
      <c r="B13" t="s">
        <v>26</v>
      </c>
      <c r="C13" s="4">
        <f>C11+C12</f>
        <v>9000</v>
      </c>
      <c r="D13" s="4">
        <f>D11+D12</f>
        <v>8000</v>
      </c>
      <c r="E13" s="4">
        <f>E11+E12</f>
        <v>16000</v>
      </c>
      <c r="F13" s="4">
        <f>F11+F12</f>
        <v>14000</v>
      </c>
      <c r="G13" s="6" t="s">
        <v>18</v>
      </c>
    </row>
    <row r="14" spans="2:11" x14ac:dyDescent="0.2">
      <c r="B14" t="s">
        <v>27</v>
      </c>
      <c r="D14">
        <v>3000</v>
      </c>
      <c r="E14">
        <v>6000</v>
      </c>
      <c r="F14">
        <v>6000</v>
      </c>
      <c r="G14" s="5" t="s">
        <v>30</v>
      </c>
      <c r="H14">
        <v>5000</v>
      </c>
      <c r="I14">
        <v>5000</v>
      </c>
      <c r="J14">
        <v>5000</v>
      </c>
      <c r="K14">
        <f>5000+10000</f>
        <v>15000</v>
      </c>
    </row>
    <row r="15" spans="2:11" x14ac:dyDescent="0.2">
      <c r="B15" t="s">
        <v>25</v>
      </c>
      <c r="D15" s="4">
        <v>-300</v>
      </c>
      <c r="E15" s="4">
        <v>-900</v>
      </c>
      <c r="F15" s="4">
        <v>-1500</v>
      </c>
      <c r="G15" s="5" t="s">
        <v>31</v>
      </c>
      <c r="H15">
        <f>'Income Statement'!C16</f>
        <v>9450</v>
      </c>
      <c r="I15">
        <f>H15+'Income Statement'!D16</f>
        <v>29430</v>
      </c>
      <c r="J15">
        <f>I15+'Income Statement'!E16-10000</f>
        <v>59840</v>
      </c>
      <c r="K15">
        <f>J15+'Income Statement'!F16-15000</f>
        <v>115175</v>
      </c>
    </row>
    <row r="16" spans="2:11" x14ac:dyDescent="0.2">
      <c r="B16" t="s">
        <v>28</v>
      </c>
      <c r="D16" s="4">
        <f>D14+D15</f>
        <v>2700</v>
      </c>
      <c r="E16" s="4">
        <f>E14+E15</f>
        <v>5100</v>
      </c>
      <c r="F16" s="4">
        <f>F14+F15</f>
        <v>4500</v>
      </c>
    </row>
    <row r="18" spans="2:11" ht="17" thickBot="1" x14ac:dyDescent="0.25">
      <c r="B18" s="1"/>
      <c r="C18" s="1"/>
      <c r="D18" s="1"/>
      <c r="E18" s="1"/>
      <c r="F18" s="1"/>
      <c r="G18" s="1"/>
      <c r="H18" s="1"/>
      <c r="I18" s="1"/>
      <c r="J18" s="1"/>
    </row>
    <row r="19" spans="2:11" x14ac:dyDescent="0.2">
      <c r="B19" t="s">
        <v>23</v>
      </c>
      <c r="C19" s="4">
        <f>C7+C13</f>
        <v>19450</v>
      </c>
      <c r="D19" s="4">
        <f>D7+D13+D16</f>
        <v>39430</v>
      </c>
      <c r="E19" s="4">
        <f>E7+E13+E16</f>
        <v>69840</v>
      </c>
      <c r="F19" s="4">
        <f>F7+F8+F13+F16</f>
        <v>130175</v>
      </c>
      <c r="G19" t="s">
        <v>24</v>
      </c>
      <c r="H19">
        <f>H7+H14+H15</f>
        <v>19450</v>
      </c>
      <c r="I19">
        <f>I7+I14+I15</f>
        <v>39430</v>
      </c>
      <c r="J19">
        <f>J7+J14+J15</f>
        <v>69840</v>
      </c>
      <c r="K19">
        <f>K7+K14+K15</f>
        <v>130175</v>
      </c>
    </row>
    <row r="21" spans="2:11" x14ac:dyDescent="0.2">
      <c r="F21" s="20"/>
    </row>
    <row r="22" spans="2:11" x14ac:dyDescent="0.2">
      <c r="F22" s="20"/>
    </row>
  </sheetData>
  <mergeCells count="1">
    <mergeCell ref="B2:J2"/>
  </mergeCells>
  <phoneticPr fontId="8" type="noConversion"/>
  <pageMargins left="0.75000000000000011" right="0.75000000000000011" top="1" bottom="1" header="0.5" footer="0.5"/>
  <pageSetup scale="82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27"/>
  <sheetViews>
    <sheetView zoomScale="137" zoomScaleNormal="150" zoomScalePageLayoutView="150" workbookViewId="0">
      <selection activeCell="G4" sqref="G4"/>
    </sheetView>
  </sheetViews>
  <sheetFormatPr baseColWidth="10" defaultColWidth="11" defaultRowHeight="16" x14ac:dyDescent="0.2"/>
  <cols>
    <col min="1" max="1" width="2.6640625" customWidth="1"/>
    <col min="2" max="2" width="33" customWidth="1"/>
  </cols>
  <sheetData>
    <row r="1" spans="2:6" ht="22" thickBot="1" x14ac:dyDescent="0.3">
      <c r="B1" s="23" t="s">
        <v>32</v>
      </c>
      <c r="C1" s="23"/>
      <c r="D1" s="23"/>
      <c r="E1" s="23"/>
    </row>
    <row r="2" spans="2:6" ht="17" thickBot="1" x14ac:dyDescent="0.25">
      <c r="B2" s="1"/>
      <c r="C2" s="2" t="s">
        <v>2</v>
      </c>
      <c r="D2" s="2" t="s">
        <v>3</v>
      </c>
      <c r="E2" s="2" t="s">
        <v>4</v>
      </c>
      <c r="F2" s="19" t="s">
        <v>52</v>
      </c>
    </row>
    <row r="3" spans="2:6" x14ac:dyDescent="0.2">
      <c r="B3" s="6" t="s">
        <v>33</v>
      </c>
    </row>
    <row r="4" spans="2:6" x14ac:dyDescent="0.2">
      <c r="B4" t="s">
        <v>36</v>
      </c>
      <c r="C4" s="14">
        <f>'Income Statement'!C16</f>
        <v>9450</v>
      </c>
      <c r="D4">
        <f>'Income Statement'!D16</f>
        <v>19980</v>
      </c>
      <c r="E4">
        <f>'Income Statement'!E16</f>
        <v>40410</v>
      </c>
      <c r="F4">
        <f>'Income Statement'!F16</f>
        <v>70335</v>
      </c>
    </row>
    <row r="5" spans="2:6" x14ac:dyDescent="0.2">
      <c r="B5" t="s">
        <v>43</v>
      </c>
      <c r="C5" s="14">
        <v>1000</v>
      </c>
      <c r="D5">
        <v>1300</v>
      </c>
      <c r="E5">
        <f>'Income Statement'!E9</f>
        <v>2600</v>
      </c>
      <c r="F5">
        <v>2600</v>
      </c>
    </row>
    <row r="6" spans="2:6" x14ac:dyDescent="0.2">
      <c r="B6" t="s">
        <v>37</v>
      </c>
      <c r="C6" s="11"/>
    </row>
    <row r="7" spans="2:6" x14ac:dyDescent="0.2">
      <c r="B7" t="s">
        <v>51</v>
      </c>
      <c r="C7" s="11"/>
      <c r="F7" s="20">
        <v>-433</v>
      </c>
    </row>
    <row r="8" spans="2:6" x14ac:dyDescent="0.2">
      <c r="B8" t="s">
        <v>44</v>
      </c>
      <c r="C8" s="11"/>
    </row>
    <row r="9" spans="2:6" x14ac:dyDescent="0.2">
      <c r="C9" s="11"/>
    </row>
    <row r="10" spans="2:6" x14ac:dyDescent="0.2">
      <c r="B10" s="7" t="s">
        <v>38</v>
      </c>
      <c r="C10" s="15">
        <f>C4+C5</f>
        <v>10450</v>
      </c>
      <c r="D10" s="7">
        <f>D4+D5</f>
        <v>21280</v>
      </c>
      <c r="E10" s="7">
        <f>SUM(E4:E8)</f>
        <v>43010</v>
      </c>
      <c r="F10" s="7">
        <f>SUM(F4:F8)</f>
        <v>72502</v>
      </c>
    </row>
    <row r="11" spans="2:6" x14ac:dyDescent="0.2">
      <c r="C11" s="11"/>
    </row>
    <row r="12" spans="2:6" x14ac:dyDescent="0.2">
      <c r="B12" s="6" t="s">
        <v>34</v>
      </c>
      <c r="C12" s="11"/>
    </row>
    <row r="13" spans="2:6" x14ac:dyDescent="0.2">
      <c r="B13" t="s">
        <v>45</v>
      </c>
      <c r="C13" s="12">
        <v>-10000</v>
      </c>
      <c r="D13" s="12">
        <v>-3000</v>
      </c>
      <c r="E13" s="12">
        <v>-13000</v>
      </c>
      <c r="F13" s="12"/>
    </row>
    <row r="14" spans="2:6" x14ac:dyDescent="0.2">
      <c r="B14" t="s">
        <v>46</v>
      </c>
      <c r="C14" s="11"/>
    </row>
    <row r="15" spans="2:6" x14ac:dyDescent="0.2">
      <c r="C15" s="11"/>
    </row>
    <row r="16" spans="2:6" x14ac:dyDescent="0.2">
      <c r="B16" s="7" t="s">
        <v>39</v>
      </c>
      <c r="C16" s="13">
        <f>C13</f>
        <v>-10000</v>
      </c>
      <c r="D16" s="9">
        <f>D13</f>
        <v>-3000</v>
      </c>
      <c r="E16" s="9">
        <f>SUM(E13:E14)</f>
        <v>-13000</v>
      </c>
      <c r="F16" s="9">
        <f>SUM(F13:F14)</f>
        <v>0</v>
      </c>
    </row>
    <row r="17" spans="2:6" x14ac:dyDescent="0.2">
      <c r="C17" s="11"/>
    </row>
    <row r="18" spans="2:6" x14ac:dyDescent="0.2">
      <c r="B18" s="6" t="s">
        <v>35</v>
      </c>
      <c r="C18" s="11"/>
    </row>
    <row r="19" spans="2:6" x14ac:dyDescent="0.2">
      <c r="B19" t="s">
        <v>47</v>
      </c>
      <c r="C19" s="14">
        <v>5000</v>
      </c>
      <c r="D19">
        <v>0</v>
      </c>
      <c r="E19">
        <v>0</v>
      </c>
      <c r="F19">
        <v>0</v>
      </c>
    </row>
    <row r="20" spans="2:6" x14ac:dyDescent="0.2">
      <c r="B20" t="s">
        <v>48</v>
      </c>
      <c r="C20" s="14">
        <v>5000</v>
      </c>
      <c r="D20">
        <v>0</v>
      </c>
      <c r="E20">
        <v>0</v>
      </c>
      <c r="F20">
        <v>10000</v>
      </c>
    </row>
    <row r="21" spans="2:6" x14ac:dyDescent="0.2">
      <c r="B21" t="s">
        <v>49</v>
      </c>
      <c r="C21" s="11"/>
      <c r="E21">
        <v>0</v>
      </c>
      <c r="F21">
        <v>-5000</v>
      </c>
    </row>
    <row r="22" spans="2:6" x14ac:dyDescent="0.2">
      <c r="B22" t="s">
        <v>50</v>
      </c>
      <c r="C22" s="14"/>
      <c r="E22">
        <v>-10000</v>
      </c>
      <c r="F22">
        <v>-15000</v>
      </c>
    </row>
    <row r="23" spans="2:6" x14ac:dyDescent="0.2">
      <c r="C23" s="14"/>
    </row>
    <row r="24" spans="2:6" ht="17" thickBot="1" x14ac:dyDescent="0.25">
      <c r="B24" s="8" t="s">
        <v>40</v>
      </c>
      <c r="C24" s="16">
        <f>C19+C20</f>
        <v>10000</v>
      </c>
      <c r="D24" s="8">
        <v>0</v>
      </c>
      <c r="E24" s="18">
        <f>SUM(E19:E22)</f>
        <v>-10000</v>
      </c>
      <c r="F24" s="18">
        <f>SUM(F19:F22)</f>
        <v>-10000</v>
      </c>
    </row>
    <row r="25" spans="2:6" x14ac:dyDescent="0.2">
      <c r="C25" s="14"/>
    </row>
    <row r="26" spans="2:6" x14ac:dyDescent="0.2">
      <c r="B26" t="s">
        <v>41</v>
      </c>
      <c r="C26" s="17">
        <f>C10+C16+C24</f>
        <v>10450</v>
      </c>
      <c r="D26" s="4">
        <f>D10+D16+D24</f>
        <v>18280</v>
      </c>
      <c r="E26" s="4">
        <f>E10+E16+E24</f>
        <v>20010</v>
      </c>
      <c r="F26" s="4">
        <f>F10+F16+F24</f>
        <v>62502</v>
      </c>
    </row>
    <row r="27" spans="2:6" x14ac:dyDescent="0.2">
      <c r="C27" s="14"/>
    </row>
  </sheetData>
  <mergeCells count="1">
    <mergeCell ref="B1:E1"/>
  </mergeCells>
  <phoneticPr fontId="8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</vt:lpstr>
      <vt:lpstr>Balance Sheet</vt:lpstr>
      <vt:lpstr>Cash Flow Statements</vt:lpstr>
    </vt:vector>
  </TitlesOfParts>
  <Company>Brown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Taisen He</dc:creator>
  <cp:lastModifiedBy>Microsoft Office User</cp:lastModifiedBy>
  <cp:lastPrinted>2015-09-14T12:38:16Z</cp:lastPrinted>
  <dcterms:created xsi:type="dcterms:W3CDTF">2012-07-31T19:58:48Z</dcterms:created>
  <dcterms:modified xsi:type="dcterms:W3CDTF">2023-03-20T05:59:34Z</dcterms:modified>
</cp:coreProperties>
</file>